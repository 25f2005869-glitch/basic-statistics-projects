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ity" sheetId="1" r:id="rId5"/>
    <sheet state="visible" name="Calculation" sheetId="2" r:id="rId6"/>
  </sheets>
  <definedNames/>
  <calcPr/>
</workbook>
</file>

<file path=xl/sharedStrings.xml><?xml version="1.0" encoding="utf-8"?>
<sst xmlns="http://schemas.openxmlformats.org/spreadsheetml/2006/main" count="26" uniqueCount="23">
  <si>
    <t>Alphabet Quarterly Gross Profit (Millions of US $)</t>
  </si>
  <si>
    <t>Year</t>
  </si>
  <si>
    <t>Total number of Quaters</t>
  </si>
  <si>
    <t>Profit</t>
  </si>
  <si>
    <t>Estimated profit</t>
  </si>
  <si>
    <t>Error</t>
  </si>
  <si>
    <t xml:space="preserve">Interval </t>
  </si>
  <si>
    <t>Frequency</t>
  </si>
  <si>
    <t>Probability</t>
  </si>
  <si>
    <t>Normal distribution</t>
  </si>
  <si>
    <t>Total=</t>
  </si>
  <si>
    <t>Mean=</t>
  </si>
  <si>
    <t>Standard Deviation=</t>
  </si>
  <si>
    <t>2024-09-31</t>
  </si>
  <si>
    <t>Variance=</t>
  </si>
  <si>
    <t>Standard deviation=</t>
  </si>
  <si>
    <t>Midpoints</t>
  </si>
  <si>
    <t>Midpint* frequency=M</t>
  </si>
  <si>
    <t>mean</t>
  </si>
  <si>
    <t>MIDPOIN-mean</t>
  </si>
  <si>
    <t>(Midpoint − mean)^2</t>
  </si>
  <si>
    <t>variance=</t>
  </si>
  <si>
    <t>Standard devaitaion=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</si>
</sst>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yyyy-mm-dd"/>
  </numFmts>
  <fonts count="12">
    <font>
      <sz val="10.0"/>
      <color rgb="FF000000"/>
      <name val="Arial"/>
      <scheme val="minor"/>
    </font>
    <font>
      <b/>
      <sz val="18.0"/>
      <color rgb="FF000000"/>
      <name val="Comic Sans MS"/>
    </font>
    <font/>
    <font>
      <b/>
      <sz val="18.0"/>
      <color theme="1"/>
      <name val="Arial"/>
      <scheme val="minor"/>
    </font>
    <font>
      <b/>
      <sz val="13.0"/>
      <color rgb="FF000000"/>
      <name val="Comic Sans MS"/>
    </font>
    <font>
      <b/>
      <sz val="13.0"/>
      <color theme="1"/>
      <name val="Comic Sans MS"/>
    </font>
    <font>
      <color theme="1"/>
      <name val="Arial"/>
      <scheme val="minor"/>
    </font>
    <font>
      <sz val="9.0"/>
      <color rgb="FF000000"/>
      <name val="Google Sans"/>
    </font>
    <font>
      <color theme="1"/>
      <name val="Arial"/>
    </font>
    <font>
      <b/>
      <sz val="12.0"/>
      <color rgb="FF000000"/>
      <name val="Comic Sans MS"/>
    </font>
    <font>
      <sz val="13.0"/>
      <color theme="1"/>
      <name val="Arial"/>
    </font>
    <font>
      <color rgb="FF000000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8E7CC3"/>
        <bgColor rgb="FF8E7CC3"/>
      </patternFill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rgb="FF3D85C6"/>
        <bgColor rgb="FF3D85C6"/>
      </patternFill>
    </fill>
    <fill>
      <patternFill patternType="solid">
        <fgColor rgb="FFD9D2E9"/>
        <bgColor rgb="FFD9D2E9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2" fontId="3" numFmtId="0" xfId="0" applyFont="1"/>
    <xf borderId="4" fillId="3" fontId="4" numFmtId="0" xfId="0" applyAlignment="1" applyBorder="1" applyFill="1" applyFont="1">
      <alignment horizontal="center" vertical="center"/>
    </xf>
    <xf borderId="4" fillId="3" fontId="4" numFmtId="164" xfId="0" applyAlignment="1" applyBorder="1" applyFont="1" applyNumberFormat="1">
      <alignment horizontal="center" shrinkToFit="0" vertical="center" wrapText="1"/>
    </xf>
    <xf borderId="4" fillId="3" fontId="4" numFmtId="164" xfId="0" applyAlignment="1" applyBorder="1" applyFont="1" applyNumberFormat="1">
      <alignment horizontal="center" vertical="center"/>
    </xf>
    <xf borderId="4" fillId="3" fontId="5" numFmtId="0" xfId="0" applyAlignment="1" applyBorder="1" applyFont="1">
      <alignment horizontal="center" shrinkToFit="0" vertical="center" wrapText="1"/>
    </xf>
    <xf borderId="0" fillId="3" fontId="6" numFmtId="0" xfId="0" applyFont="1"/>
    <xf borderId="4" fillId="4" fontId="4" numFmtId="165" xfId="0" applyAlignment="1" applyBorder="1" applyFill="1" applyFont="1" applyNumberFormat="1">
      <alignment horizontal="center" vertical="center"/>
    </xf>
    <xf borderId="4" fillId="4" fontId="4" numFmtId="3" xfId="0" applyAlignment="1" applyBorder="1" applyFont="1" applyNumberFormat="1">
      <alignment horizontal="center" vertical="center"/>
    </xf>
    <xf borderId="4" fillId="4" fontId="4" numFmtId="164" xfId="0" applyAlignment="1" applyBorder="1" applyFont="1" applyNumberFormat="1">
      <alignment horizontal="center" vertical="center"/>
    </xf>
    <xf borderId="4" fillId="4" fontId="5" numFmtId="0" xfId="0" applyAlignment="1" applyBorder="1" applyFont="1">
      <alignment horizontal="center" vertical="center"/>
    </xf>
    <xf borderId="4" fillId="4" fontId="5" numFmtId="3" xfId="0" applyAlignment="1" applyBorder="1" applyFont="1" applyNumberFormat="1">
      <alignment horizontal="center" shrinkToFit="0" vertical="center" wrapText="1"/>
    </xf>
    <xf borderId="4" fillId="4" fontId="5" numFmtId="0" xfId="0" applyAlignment="1" applyBorder="1" applyFont="1">
      <alignment horizontal="center" shrinkToFit="0" vertical="center" wrapText="1"/>
    </xf>
    <xf borderId="0" fillId="4" fontId="6" numFmtId="0" xfId="0" applyFont="1"/>
    <xf borderId="0" fillId="4" fontId="7" numFmtId="0" xfId="0" applyAlignment="1" applyFont="1">
      <alignment horizontal="left"/>
    </xf>
    <xf borderId="4" fillId="4" fontId="8" numFmtId="164" xfId="0" applyAlignment="1" applyBorder="1" applyFont="1" applyNumberFormat="1">
      <alignment horizontal="center" vertical="bottom"/>
    </xf>
    <xf borderId="4" fillId="4" fontId="8" numFmtId="0" xfId="0" applyAlignment="1" applyBorder="1" applyFont="1">
      <alignment horizontal="center"/>
    </xf>
    <xf borderId="4" fillId="4" fontId="5" numFmtId="164" xfId="0" applyAlignment="1" applyBorder="1" applyFont="1" applyNumberFormat="1">
      <alignment horizontal="right" vertical="bottom"/>
    </xf>
    <xf borderId="4" fillId="4" fontId="5" numFmtId="3" xfId="0" applyAlignment="1" applyBorder="1" applyFont="1" applyNumberFormat="1">
      <alignment horizontal="center" vertical="bottom"/>
    </xf>
    <xf borderId="0" fillId="4" fontId="8" numFmtId="164" xfId="0" applyAlignment="1" applyFont="1" applyNumberFormat="1">
      <alignment horizontal="right" vertical="bottom"/>
    </xf>
    <xf borderId="4" fillId="4" fontId="9" numFmtId="164" xfId="0" applyAlignment="1" applyBorder="1" applyFont="1" applyNumberFormat="1">
      <alignment horizontal="right" vertical="bottom"/>
    </xf>
    <xf borderId="4" fillId="4" fontId="4" numFmtId="0" xfId="0" applyAlignment="1" applyBorder="1" applyFont="1">
      <alignment horizontal="left" vertical="center"/>
    </xf>
    <xf borderId="0" fillId="4" fontId="8" numFmtId="0" xfId="0" applyAlignment="1" applyFont="1">
      <alignment shrinkToFit="0" wrapText="1"/>
    </xf>
    <xf borderId="0" fillId="4" fontId="8" numFmtId="3" xfId="0" applyAlignment="1" applyFont="1" applyNumberFormat="1">
      <alignment horizontal="right" vertical="bottom"/>
    </xf>
    <xf borderId="4" fillId="4" fontId="4" numFmtId="0" xfId="0" applyAlignment="1" applyBorder="1" applyFont="1">
      <alignment horizontal="center" vertical="center"/>
    </xf>
    <xf borderId="0" fillId="4" fontId="8" numFmtId="0" xfId="0" applyAlignment="1" applyFont="1">
      <alignment vertical="bottom"/>
    </xf>
    <xf borderId="0" fillId="4" fontId="10" numFmtId="164" xfId="0" applyAlignment="1" applyFont="1" applyNumberFormat="1">
      <alignment horizontal="right" shrinkToFit="0" wrapText="1"/>
    </xf>
    <xf borderId="4" fillId="4" fontId="10" numFmtId="164" xfId="0" applyAlignment="1" applyBorder="1" applyFont="1" applyNumberFormat="1">
      <alignment horizontal="right" shrinkToFit="0" wrapText="1"/>
    </xf>
    <xf borderId="4" fillId="4" fontId="10" numFmtId="164" xfId="0" applyAlignment="1" applyBorder="1" applyFont="1" applyNumberFormat="1">
      <alignment shrinkToFit="0" wrapText="1"/>
    </xf>
    <xf borderId="4" fillId="5" fontId="5" numFmtId="0" xfId="0" applyAlignment="1" applyBorder="1" applyFill="1" applyFont="1">
      <alignment horizontal="center" vertical="center"/>
    </xf>
    <xf borderId="4" fillId="5" fontId="5" numFmtId="0" xfId="0" applyAlignment="1" applyBorder="1" applyFont="1">
      <alignment horizontal="center" shrinkToFit="0" vertical="center" wrapText="1"/>
    </xf>
    <xf borderId="4" fillId="5" fontId="5" numFmtId="0" xfId="0" applyAlignment="1" applyBorder="1" applyFont="1">
      <alignment horizontal="center" readingOrder="0" vertical="center"/>
    </xf>
    <xf borderId="4" fillId="6" fontId="5" numFmtId="3" xfId="0" applyAlignment="1" applyBorder="1" applyFill="1" applyFont="1" applyNumberFormat="1">
      <alignment horizontal="center" vertical="center"/>
    </xf>
    <xf borderId="4" fillId="6" fontId="5" numFmtId="0" xfId="0" applyAlignment="1" applyBorder="1" applyFont="1">
      <alignment horizontal="center" vertical="center"/>
    </xf>
    <xf borderId="0" fillId="6" fontId="6" numFmtId="0" xfId="0" applyFont="1"/>
    <xf borderId="4" fillId="4" fontId="5" numFmtId="3" xfId="0" applyAlignment="1" applyBorder="1" applyFont="1" applyNumberFormat="1">
      <alignment horizontal="center" vertical="center"/>
    </xf>
    <xf borderId="4" fillId="4" fontId="5" numFmtId="0" xfId="0" applyAlignment="1" applyBorder="1" applyFont="1">
      <alignment horizontal="center" readingOrder="0" vertical="center"/>
    </xf>
    <xf borderId="4" fillId="6" fontId="5" numFmtId="0" xfId="0" applyAlignment="1" applyBorder="1" applyFont="1">
      <alignment horizontal="center" readingOrder="0" vertical="center"/>
    </xf>
    <xf borderId="4" fillId="6" fontId="4" numFmtId="3" xfId="0" applyAlignment="1" applyBorder="1" applyFont="1" applyNumberFormat="1">
      <alignment horizontal="center" vertical="center"/>
    </xf>
    <xf borderId="4" fillId="6" fontId="4" numFmtId="0" xfId="0" applyAlignment="1" applyBorder="1" applyFont="1">
      <alignment horizontal="center" vertical="center"/>
    </xf>
    <xf borderId="4" fillId="6" fontId="4" numFmtId="0" xfId="0" applyAlignment="1" applyBorder="1" applyFont="1">
      <alignment horizontal="center" readingOrder="0" vertical="center"/>
    </xf>
    <xf borderId="0" fillId="6" fontId="11" numFmtId="0" xfId="0" applyFont="1"/>
    <xf borderId="4" fillId="6" fontId="5" numFmtId="0" xfId="0" applyAlignment="1" applyBorder="1" applyFont="1">
      <alignment horizontal="right" vertical="center"/>
    </xf>
    <xf borderId="4" fillId="6" fontId="5" numFmtId="0" xfId="0" applyAlignment="1" applyBorder="1" applyFont="1">
      <alignment horizontal="left" vertical="center"/>
    </xf>
    <xf borderId="4" fillId="4" fontId="5" numFmtId="0" xfId="0" applyAlignment="1" applyBorder="1" applyFont="1">
      <alignment horizontal="right" shrinkToFit="0" vertical="center" wrapText="1"/>
    </xf>
    <xf borderId="4" fillId="4" fontId="5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Comic Sans MS"/>
              </a:defRPr>
            </a:pPr>
            <a:r>
              <a:rPr b="0" i="0">
                <a:solidFill>
                  <a:srgbClr val="757575"/>
                </a:solidFill>
                <a:latin typeface="Comic Sans MS"/>
              </a:rPr>
              <a:t>Profit vs. Total number of Quaters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Activity!$B$3:$B$65</c:f>
            </c:strRef>
          </c:cat>
          <c:val>
            <c:numRef>
              <c:f>Activity!$C$3:$C$65</c:f>
              <c:numCache/>
            </c:numRef>
          </c:val>
          <c:smooth val="0"/>
        </c:ser>
        <c:axId val="2124375481"/>
        <c:axId val="692384415"/>
      </c:lineChart>
      <c:catAx>
        <c:axId val="21243754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Comic Sans MS"/>
                  </a:defRPr>
                </a:pPr>
                <a:r>
                  <a:rPr b="0" i="0">
                    <a:solidFill>
                      <a:srgbClr val="000000"/>
                    </a:solidFill>
                    <a:latin typeface="Comic Sans MS"/>
                  </a:rPr>
                  <a:t>Total number of Quaters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Comic Sans MS"/>
              </a:defRPr>
            </a:pPr>
          </a:p>
        </c:txPr>
        <c:crossAx val="692384415"/>
      </c:catAx>
      <c:valAx>
        <c:axId val="6923844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Comic Sans MS"/>
                  </a:defRPr>
                </a:pPr>
                <a:r>
                  <a:rPr b="0" i="0">
                    <a:solidFill>
                      <a:srgbClr val="000000"/>
                    </a:solidFill>
                    <a:latin typeface="Comic Sans MS"/>
                  </a:rPr>
                  <a:t>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Comic Sans MS"/>
              </a:defRPr>
            </a:pPr>
          </a:p>
        </c:txPr>
        <c:crossAx val="2124375481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Comic Sans MS"/>
            </a:defRPr>
          </a:pPr>
        </a:p>
      </c:txPr>
    </c:legend>
    <c:plotVisOnly val="1"/>
  </c:chart>
  <c:spPr>
    <a:solidFill>
      <a:srgbClr val="FFF2CC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Probability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Activity!$H$2:$H$13</c:f>
              <c:numCache/>
            </c:numRef>
          </c:val>
          <c:smooth val="1"/>
        </c:ser>
        <c:axId val="880006727"/>
        <c:axId val="198926169"/>
      </c:lineChart>
      <c:catAx>
        <c:axId val="8800067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98926169"/>
      </c:catAx>
      <c:valAx>
        <c:axId val="1989261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Probability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880006727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2CC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952500</xdr:colOff>
      <xdr:row>18</xdr:row>
      <xdr:rowOff>247650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952500</xdr:colOff>
      <xdr:row>36</xdr:row>
      <xdr:rowOff>219075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3" width="20.88"/>
    <col customWidth="1" min="4" max="6" width="12.63"/>
    <col customWidth="1" min="8" max="8" width="22.13"/>
    <col customWidth="1" min="9" max="9" width="21.5"/>
    <col customWidth="1" min="10" max="10" width="21.0"/>
  </cols>
  <sheetData>
    <row r="1" ht="52.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6" t="s">
        <v>2</v>
      </c>
      <c r="C2" s="7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0">
        <v>39903.0</v>
      </c>
      <c r="B3" s="11">
        <v>1.0</v>
      </c>
      <c r="C3" s="12">
        <v>3407.0</v>
      </c>
      <c r="D3" s="13">
        <f t="shared" ref="D3:D65" si="1">733*B3-4124</f>
        <v>-3391</v>
      </c>
      <c r="E3" s="13">
        <f t="shared" ref="E3:E65" si="2">abs(C3-D3)</f>
        <v>6798</v>
      </c>
      <c r="F3" s="14">
        <v>0.0</v>
      </c>
      <c r="G3" s="14">
        <f t="array" ref="G3:G13">FREQUENCY(E3:E65,F3:F12)</f>
        <v>0</v>
      </c>
      <c r="H3" s="15">
        <f t="shared" ref="H3:H13" si="3">G3/$G$15</f>
        <v>0</v>
      </c>
      <c r="I3" s="15">
        <v>0.0</v>
      </c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10">
        <v>39994.0</v>
      </c>
      <c r="B4" s="11">
        <v>2.0</v>
      </c>
      <c r="C4" s="12">
        <v>3415.0</v>
      </c>
      <c r="D4" s="13">
        <f t="shared" si="1"/>
        <v>-2658</v>
      </c>
      <c r="E4" s="13">
        <f t="shared" si="2"/>
        <v>6073</v>
      </c>
      <c r="F4" s="14">
        <v>1000.0</v>
      </c>
      <c r="G4" s="14">
        <v>6.0</v>
      </c>
      <c r="H4" s="15">
        <f t="shared" si="3"/>
        <v>0.09523809524</v>
      </c>
      <c r="I4" s="15">
        <f t="shared" ref="I4:I13" si="4">_xlfn.NORM.DIST(F4,$H$17,$H$18,True)</f>
        <v>0.3950589503</v>
      </c>
      <c r="J4" s="17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10">
        <v>40086.0</v>
      </c>
      <c r="B5" s="11">
        <v>3.0</v>
      </c>
      <c r="C5" s="12">
        <v>3719.0</v>
      </c>
      <c r="D5" s="13">
        <f t="shared" si="1"/>
        <v>-1925</v>
      </c>
      <c r="E5" s="13">
        <f t="shared" si="2"/>
        <v>5644</v>
      </c>
      <c r="F5" s="14">
        <v>2000.0</v>
      </c>
      <c r="G5" s="14">
        <v>7.0</v>
      </c>
      <c r="H5" s="15">
        <f t="shared" si="3"/>
        <v>0.1111111111</v>
      </c>
      <c r="I5" s="15">
        <f t="shared" si="4"/>
        <v>0.4294901186</v>
      </c>
      <c r="J5" s="17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10">
        <v>40178.0</v>
      </c>
      <c r="B6" s="11">
        <v>4.0</v>
      </c>
      <c r="C6" s="12">
        <v>4266.0</v>
      </c>
      <c r="D6" s="13">
        <f t="shared" si="1"/>
        <v>-1192</v>
      </c>
      <c r="E6" s="13">
        <f t="shared" si="2"/>
        <v>5458</v>
      </c>
      <c r="F6" s="14">
        <v>3000.0</v>
      </c>
      <c r="G6" s="14">
        <v>6.0</v>
      </c>
      <c r="H6" s="15">
        <f t="shared" si="3"/>
        <v>0.09523809524</v>
      </c>
      <c r="I6" s="15">
        <f t="shared" si="4"/>
        <v>0.4644665105</v>
      </c>
      <c r="J6" s="17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10">
        <v>40268.0</v>
      </c>
      <c r="B7" s="11">
        <v>5.0</v>
      </c>
      <c r="C7" s="12">
        <v>4323.0</v>
      </c>
      <c r="D7" s="13">
        <f t="shared" si="1"/>
        <v>-459</v>
      </c>
      <c r="E7" s="13">
        <f t="shared" si="2"/>
        <v>4782</v>
      </c>
      <c r="F7" s="14">
        <v>4000.0</v>
      </c>
      <c r="G7" s="14">
        <v>12.0</v>
      </c>
      <c r="H7" s="15">
        <f t="shared" si="3"/>
        <v>0.1904761905</v>
      </c>
      <c r="I7" s="15">
        <f t="shared" si="4"/>
        <v>0.4997198378</v>
      </c>
      <c r="J7" s="17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10">
        <v>40359.0</v>
      </c>
      <c r="B8" s="11">
        <v>6.0</v>
      </c>
      <c r="C8" s="12">
        <v>4353.0</v>
      </c>
      <c r="D8" s="13">
        <f t="shared" si="1"/>
        <v>274</v>
      </c>
      <c r="E8" s="13">
        <f t="shared" si="2"/>
        <v>4079</v>
      </c>
      <c r="F8" s="14">
        <v>5000.0</v>
      </c>
      <c r="G8" s="14">
        <v>14.0</v>
      </c>
      <c r="H8" s="15">
        <f t="shared" si="3"/>
        <v>0.2222222222</v>
      </c>
      <c r="I8" s="15">
        <f t="shared" si="4"/>
        <v>0.5349753544</v>
      </c>
      <c r="J8" s="17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10">
        <v>40451.0</v>
      </c>
      <c r="B9" s="11">
        <v>7.0</v>
      </c>
      <c r="C9" s="12">
        <v>4734.0</v>
      </c>
      <c r="D9" s="13">
        <f t="shared" si="1"/>
        <v>1007</v>
      </c>
      <c r="E9" s="13">
        <f t="shared" si="2"/>
        <v>3727</v>
      </c>
      <c r="F9" s="14">
        <v>6000.0</v>
      </c>
      <c r="G9" s="14">
        <v>9.0</v>
      </c>
      <c r="H9" s="15">
        <f t="shared" si="3"/>
        <v>0.1428571429</v>
      </c>
      <c r="I9" s="15">
        <f t="shared" si="4"/>
        <v>0.5699582629</v>
      </c>
      <c r="J9" s="17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10">
        <v>40543.0</v>
      </c>
      <c r="B10" s="11">
        <v>8.0</v>
      </c>
      <c r="C10" s="12">
        <v>5494.0</v>
      </c>
      <c r="D10" s="13">
        <f t="shared" si="1"/>
        <v>1740</v>
      </c>
      <c r="E10" s="13">
        <f t="shared" si="2"/>
        <v>3754</v>
      </c>
      <c r="F10" s="14">
        <v>7000.0</v>
      </c>
      <c r="G10" s="14">
        <v>4.0</v>
      </c>
      <c r="H10" s="15">
        <f t="shared" si="3"/>
        <v>0.06349206349</v>
      </c>
      <c r="I10" s="15">
        <f t="shared" si="4"/>
        <v>0.6044001236</v>
      </c>
      <c r="J10" s="17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10">
        <v>40633.0</v>
      </c>
      <c r="B11" s="11">
        <v>9.0</v>
      </c>
      <c r="C11" s="12">
        <v>5639.0</v>
      </c>
      <c r="D11" s="13">
        <f t="shared" si="1"/>
        <v>2473</v>
      </c>
      <c r="E11" s="13">
        <f t="shared" si="2"/>
        <v>3166</v>
      </c>
      <c r="F11" s="14">
        <v>8000.0</v>
      </c>
      <c r="G11" s="14">
        <v>1.0</v>
      </c>
      <c r="H11" s="15">
        <f t="shared" si="3"/>
        <v>0.01587301587</v>
      </c>
      <c r="I11" s="15">
        <f t="shared" si="4"/>
        <v>0.6380450173</v>
      </c>
      <c r="J11" s="17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10">
        <v>40724.0</v>
      </c>
      <c r="B12" s="11">
        <v>10.0</v>
      </c>
      <c r="C12" s="12">
        <v>5854.0</v>
      </c>
      <c r="D12" s="13">
        <f t="shared" si="1"/>
        <v>3206</v>
      </c>
      <c r="E12" s="13">
        <f t="shared" si="2"/>
        <v>2648</v>
      </c>
      <c r="F12" s="14">
        <v>9000.0</v>
      </c>
      <c r="G12" s="14">
        <v>2.0</v>
      </c>
      <c r="H12" s="15">
        <f t="shared" si="3"/>
        <v>0.03174603175</v>
      </c>
      <c r="I12" s="15">
        <f t="shared" si="4"/>
        <v>0.6706552258</v>
      </c>
      <c r="J12" s="17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10">
        <v>40816.0</v>
      </c>
      <c r="B13" s="11">
        <v>11.0</v>
      </c>
      <c r="C13" s="12">
        <v>6342.0</v>
      </c>
      <c r="D13" s="13">
        <f t="shared" si="1"/>
        <v>3939</v>
      </c>
      <c r="E13" s="13">
        <f t="shared" si="2"/>
        <v>2403</v>
      </c>
      <c r="F13" s="14">
        <v>10000.0</v>
      </c>
      <c r="G13" s="14">
        <v>2.0</v>
      </c>
      <c r="H13" s="15">
        <f t="shared" si="3"/>
        <v>0.03174603175</v>
      </c>
      <c r="I13" s="15">
        <f t="shared" si="4"/>
        <v>0.7020162221</v>
      </c>
      <c r="J13" s="17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10">
        <v>40908.0</v>
      </c>
      <c r="B14" s="11">
        <v>12.0</v>
      </c>
      <c r="C14" s="12">
        <v>6882.0</v>
      </c>
      <c r="D14" s="13">
        <f t="shared" si="1"/>
        <v>4672</v>
      </c>
      <c r="E14" s="13">
        <f t="shared" si="2"/>
        <v>2210</v>
      </c>
      <c r="F14" s="18"/>
      <c r="G14" s="18"/>
      <c r="H14" s="19"/>
      <c r="I14" s="19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10">
        <v>40999.0</v>
      </c>
      <c r="B15" s="11">
        <v>13.0</v>
      </c>
      <c r="C15" s="12">
        <v>6856.0</v>
      </c>
      <c r="D15" s="13">
        <f t="shared" si="1"/>
        <v>5405</v>
      </c>
      <c r="E15" s="13">
        <f t="shared" si="2"/>
        <v>1451</v>
      </c>
      <c r="F15" s="20" t="s">
        <v>10</v>
      </c>
      <c r="G15" s="21">
        <f>SUM(G3:G13)</f>
        <v>63</v>
      </c>
      <c r="H15" s="19"/>
      <c r="I15" s="19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10">
        <v>41090.0</v>
      </c>
      <c r="B16" s="11">
        <v>14.0</v>
      </c>
      <c r="C16" s="12">
        <v>7130.0</v>
      </c>
      <c r="D16" s="13">
        <f t="shared" si="1"/>
        <v>6138</v>
      </c>
      <c r="E16" s="13">
        <f t="shared" si="2"/>
        <v>992</v>
      </c>
      <c r="F16" s="22"/>
      <c r="G16" s="22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10">
        <v>41182.0</v>
      </c>
      <c r="B17" s="11">
        <v>15.0</v>
      </c>
      <c r="C17" s="12">
        <v>7349.0</v>
      </c>
      <c r="D17" s="13">
        <f t="shared" si="1"/>
        <v>6871</v>
      </c>
      <c r="E17" s="13">
        <f t="shared" si="2"/>
        <v>478</v>
      </c>
      <c r="F17" s="23"/>
      <c r="G17" s="23" t="s">
        <v>11</v>
      </c>
      <c r="H17" s="24">
        <v>4007.936507936508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10">
        <v>41274.0</v>
      </c>
      <c r="B18" s="11">
        <v>16.0</v>
      </c>
      <c r="C18" s="12">
        <v>7528.0</v>
      </c>
      <c r="D18" s="13">
        <f t="shared" si="1"/>
        <v>7604</v>
      </c>
      <c r="E18" s="13">
        <f t="shared" si="2"/>
        <v>76</v>
      </c>
      <c r="F18" s="23"/>
      <c r="G18" s="23" t="s">
        <v>12</v>
      </c>
      <c r="H18" s="24">
        <v>11301.339725335114</v>
      </c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10">
        <v>41364.0</v>
      </c>
      <c r="B19" s="11">
        <v>17.0</v>
      </c>
      <c r="C19" s="12">
        <v>7815.0</v>
      </c>
      <c r="D19" s="13">
        <f t="shared" si="1"/>
        <v>8337</v>
      </c>
      <c r="E19" s="13">
        <f t="shared" si="2"/>
        <v>522</v>
      </c>
      <c r="F19" s="22"/>
      <c r="G19" s="22"/>
      <c r="H19" s="16"/>
      <c r="I19" s="16"/>
      <c r="J19" s="16"/>
      <c r="K19" s="16"/>
      <c r="L19" s="16"/>
      <c r="M19" s="16"/>
      <c r="N19" s="25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10">
        <v>41455.0</v>
      </c>
      <c r="B20" s="11">
        <v>18.0</v>
      </c>
      <c r="C20" s="12">
        <v>7912.0</v>
      </c>
      <c r="D20" s="13">
        <f t="shared" si="1"/>
        <v>9070</v>
      </c>
      <c r="E20" s="13">
        <f t="shared" si="2"/>
        <v>1158</v>
      </c>
      <c r="F20" s="22"/>
      <c r="G20" s="22"/>
      <c r="H20" s="16"/>
      <c r="I20" s="16"/>
      <c r="J20" s="16"/>
      <c r="K20" s="26"/>
      <c r="L20" s="2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10">
        <v>41547.0</v>
      </c>
      <c r="B21" s="11">
        <v>19.0</v>
      </c>
      <c r="C21" s="12">
        <v>8345.0</v>
      </c>
      <c r="D21" s="13">
        <f t="shared" si="1"/>
        <v>9803</v>
      </c>
      <c r="E21" s="13">
        <f t="shared" si="2"/>
        <v>1458</v>
      </c>
      <c r="F21" s="22"/>
      <c r="G21" s="22"/>
      <c r="H21" s="16"/>
      <c r="I21" s="16"/>
      <c r="J21" s="16"/>
      <c r="K21" s="26"/>
      <c r="L21" s="2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10">
        <v>41639.0</v>
      </c>
      <c r="B22" s="11">
        <v>20.0</v>
      </c>
      <c r="C22" s="12">
        <v>9454.0</v>
      </c>
      <c r="D22" s="13">
        <f t="shared" si="1"/>
        <v>10536</v>
      </c>
      <c r="E22" s="13">
        <f t="shared" si="2"/>
        <v>1082</v>
      </c>
      <c r="F22" s="22"/>
      <c r="G22" s="22"/>
      <c r="H22" s="16"/>
      <c r="I22" s="16"/>
      <c r="J22" s="16"/>
      <c r="K22" s="26"/>
      <c r="L22" s="2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10">
        <v>41729.0</v>
      </c>
      <c r="B23" s="11">
        <v>21.0</v>
      </c>
      <c r="C23" s="12">
        <v>9459.0</v>
      </c>
      <c r="D23" s="13">
        <f t="shared" si="1"/>
        <v>11269</v>
      </c>
      <c r="E23" s="13">
        <f t="shared" si="2"/>
        <v>1810</v>
      </c>
      <c r="F23" s="22"/>
      <c r="G23" s="22"/>
      <c r="H23" s="16"/>
      <c r="I23" s="16"/>
      <c r="J23" s="16"/>
      <c r="K23" s="26"/>
      <c r="L23" s="2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10">
        <v>41820.0</v>
      </c>
      <c r="B24" s="11">
        <v>22.0</v>
      </c>
      <c r="C24" s="12">
        <v>9841.0</v>
      </c>
      <c r="D24" s="13">
        <f t="shared" si="1"/>
        <v>12002</v>
      </c>
      <c r="E24" s="13">
        <f t="shared" si="2"/>
        <v>2161</v>
      </c>
      <c r="F24" s="22"/>
      <c r="G24" s="22"/>
      <c r="H24" s="16"/>
      <c r="I24" s="16"/>
      <c r="J24" s="16"/>
      <c r="K24" s="26"/>
      <c r="L24" s="2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10">
        <v>41912.0</v>
      </c>
      <c r="B25" s="11">
        <v>23.0</v>
      </c>
      <c r="C25" s="12">
        <v>9828.0</v>
      </c>
      <c r="D25" s="13">
        <f t="shared" si="1"/>
        <v>12735</v>
      </c>
      <c r="E25" s="13">
        <f t="shared" si="2"/>
        <v>2907</v>
      </c>
      <c r="F25" s="22"/>
      <c r="G25" s="22"/>
      <c r="H25" s="16"/>
      <c r="I25" s="16"/>
      <c r="J25" s="16"/>
      <c r="K25" s="26"/>
      <c r="L25" s="2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10">
        <v>42004.0</v>
      </c>
      <c r="B26" s="11">
        <v>24.0</v>
      </c>
      <c r="C26" s="12">
        <v>11182.0</v>
      </c>
      <c r="D26" s="13">
        <f t="shared" si="1"/>
        <v>13468</v>
      </c>
      <c r="E26" s="13">
        <f t="shared" si="2"/>
        <v>2286</v>
      </c>
      <c r="F26" s="22"/>
      <c r="G26" s="22"/>
      <c r="H26" s="16"/>
      <c r="I26" s="16"/>
      <c r="J26" s="16"/>
      <c r="K26" s="26"/>
      <c r="L26" s="2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10">
        <v>42094.0</v>
      </c>
      <c r="B27" s="11">
        <v>25.0</v>
      </c>
      <c r="C27" s="12">
        <v>10902.0</v>
      </c>
      <c r="D27" s="13">
        <f t="shared" si="1"/>
        <v>14201</v>
      </c>
      <c r="E27" s="13">
        <f t="shared" si="2"/>
        <v>3299</v>
      </c>
      <c r="F27" s="22"/>
      <c r="G27" s="22"/>
      <c r="H27" s="16"/>
      <c r="I27" s="16"/>
      <c r="J27" s="16"/>
      <c r="K27" s="26"/>
      <c r="L27" s="2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10">
        <v>42185.0</v>
      </c>
      <c r="B28" s="11">
        <v>26.0</v>
      </c>
      <c r="C28" s="12">
        <v>11144.0</v>
      </c>
      <c r="D28" s="13">
        <f t="shared" si="1"/>
        <v>14934</v>
      </c>
      <c r="E28" s="13">
        <f t="shared" si="2"/>
        <v>3790</v>
      </c>
      <c r="F28" s="22"/>
      <c r="G28" s="22"/>
      <c r="H28" s="16"/>
      <c r="I28" s="16"/>
      <c r="J28" s="16"/>
      <c r="K28" s="26"/>
      <c r="L28" s="2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10">
        <v>42277.0</v>
      </c>
      <c r="B29" s="11">
        <v>27.0</v>
      </c>
      <c r="C29" s="12">
        <v>11638.0</v>
      </c>
      <c r="D29" s="13">
        <f t="shared" si="1"/>
        <v>15667</v>
      </c>
      <c r="E29" s="13">
        <f t="shared" si="2"/>
        <v>4029</v>
      </c>
      <c r="F29" s="22"/>
      <c r="G29" s="22"/>
      <c r="H29" s="16"/>
      <c r="I29" s="16"/>
      <c r="J29" s="16"/>
      <c r="K29" s="26"/>
      <c r="L29" s="2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10">
        <v>42369.0</v>
      </c>
      <c r="B30" s="11">
        <v>28.0</v>
      </c>
      <c r="C30" s="12">
        <v>13141.0</v>
      </c>
      <c r="D30" s="13">
        <f t="shared" si="1"/>
        <v>16400</v>
      </c>
      <c r="E30" s="13">
        <f t="shared" si="2"/>
        <v>3259</v>
      </c>
      <c r="F30" s="22"/>
      <c r="G30" s="22"/>
      <c r="H30" s="16"/>
      <c r="I30" s="16"/>
      <c r="J30" s="16"/>
      <c r="K30" s="26"/>
      <c r="L30" s="2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10">
        <v>42460.0</v>
      </c>
      <c r="B31" s="11">
        <v>29.0</v>
      </c>
      <c r="C31" s="12">
        <v>12609.0</v>
      </c>
      <c r="D31" s="13">
        <f t="shared" si="1"/>
        <v>17133</v>
      </c>
      <c r="E31" s="13">
        <f t="shared" si="2"/>
        <v>4524</v>
      </c>
      <c r="F31" s="22"/>
      <c r="G31" s="22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10">
        <v>42551.0</v>
      </c>
      <c r="B32" s="11">
        <v>30.0</v>
      </c>
      <c r="C32" s="12">
        <v>13370.0</v>
      </c>
      <c r="D32" s="13">
        <f t="shared" si="1"/>
        <v>17866</v>
      </c>
      <c r="E32" s="13">
        <f t="shared" si="2"/>
        <v>4496</v>
      </c>
      <c r="F32" s="22"/>
      <c r="G32" s="22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10">
        <v>42643.0</v>
      </c>
      <c r="B33" s="11">
        <v>31.0</v>
      </c>
      <c r="C33" s="12">
        <v>13752.0</v>
      </c>
      <c r="D33" s="13">
        <f t="shared" si="1"/>
        <v>18599</v>
      </c>
      <c r="E33" s="13">
        <f t="shared" si="2"/>
        <v>4847</v>
      </c>
      <c r="F33" s="22"/>
      <c r="G33" s="22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10">
        <v>42735.0</v>
      </c>
      <c r="B34" s="11">
        <v>32.0</v>
      </c>
      <c r="C34" s="12">
        <v>15403.0</v>
      </c>
      <c r="D34" s="13">
        <f t="shared" si="1"/>
        <v>19332</v>
      </c>
      <c r="E34" s="13">
        <f t="shared" si="2"/>
        <v>3929</v>
      </c>
      <c r="F34" s="22"/>
      <c r="G34" s="22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10">
        <v>42825.0</v>
      </c>
      <c r="B35" s="11">
        <v>33.0</v>
      </c>
      <c r="C35" s="12">
        <v>14955.0</v>
      </c>
      <c r="D35" s="13">
        <f t="shared" si="1"/>
        <v>20065</v>
      </c>
      <c r="E35" s="13">
        <f t="shared" si="2"/>
        <v>5110</v>
      </c>
      <c r="F35" s="22"/>
      <c r="G35" s="22"/>
      <c r="H35" s="16"/>
      <c r="I35" s="16"/>
      <c r="J35" s="16"/>
      <c r="K35" s="16"/>
      <c r="L35" s="16"/>
      <c r="M35" s="16"/>
      <c r="N35" s="16"/>
      <c r="O35" s="16"/>
      <c r="P35" s="16"/>
      <c r="Q35" s="25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10">
        <v>42916.0</v>
      </c>
      <c r="B36" s="11">
        <v>34.0</v>
      </c>
      <c r="C36" s="12">
        <v>15637.0</v>
      </c>
      <c r="D36" s="13">
        <f t="shared" si="1"/>
        <v>20798</v>
      </c>
      <c r="E36" s="13">
        <f t="shared" si="2"/>
        <v>5161</v>
      </c>
      <c r="F36" s="22"/>
      <c r="G36" s="22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10">
        <v>43008.0</v>
      </c>
      <c r="B37" s="11">
        <v>35.0</v>
      </c>
      <c r="C37" s="12">
        <v>16624.0</v>
      </c>
      <c r="D37" s="13">
        <f t="shared" si="1"/>
        <v>21531</v>
      </c>
      <c r="E37" s="13">
        <f t="shared" si="2"/>
        <v>4907</v>
      </c>
      <c r="F37" s="22"/>
      <c r="G37" s="22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10">
        <v>43100.0</v>
      </c>
      <c r="B38" s="11">
        <v>36.0</v>
      </c>
      <c r="C38" s="12">
        <v>18056.0</v>
      </c>
      <c r="D38" s="13">
        <f t="shared" si="1"/>
        <v>22264</v>
      </c>
      <c r="E38" s="13">
        <f t="shared" si="2"/>
        <v>4208</v>
      </c>
      <c r="F38" s="22"/>
      <c r="G38" s="22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10">
        <v>43190.0</v>
      </c>
      <c r="B39" s="11">
        <v>37.0</v>
      </c>
      <c r="C39" s="12">
        <v>17679.0</v>
      </c>
      <c r="D39" s="13">
        <f t="shared" si="1"/>
        <v>22997</v>
      </c>
      <c r="E39" s="13">
        <f t="shared" si="2"/>
        <v>5318</v>
      </c>
      <c r="F39" s="22"/>
      <c r="G39" s="22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10">
        <v>43281.0</v>
      </c>
      <c r="B40" s="11">
        <v>38.0</v>
      </c>
      <c r="C40" s="12">
        <v>18774.0</v>
      </c>
      <c r="D40" s="13">
        <f t="shared" si="1"/>
        <v>23730</v>
      </c>
      <c r="E40" s="13">
        <f t="shared" si="2"/>
        <v>4956</v>
      </c>
      <c r="F40" s="22"/>
      <c r="G40" s="22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10">
        <v>43373.0</v>
      </c>
      <c r="B41" s="11">
        <v>39.0</v>
      </c>
      <c r="C41" s="12">
        <v>19459.0</v>
      </c>
      <c r="D41" s="13">
        <f t="shared" si="1"/>
        <v>24463</v>
      </c>
      <c r="E41" s="13">
        <f t="shared" si="2"/>
        <v>5004</v>
      </c>
      <c r="F41" s="22"/>
      <c r="G41" s="22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10">
        <v>43465.0</v>
      </c>
      <c r="B42" s="11">
        <v>40.0</v>
      </c>
      <c r="C42" s="12">
        <v>21358.0</v>
      </c>
      <c r="D42" s="13">
        <f t="shared" si="1"/>
        <v>25196</v>
      </c>
      <c r="E42" s="13">
        <f t="shared" si="2"/>
        <v>3838</v>
      </c>
      <c r="F42" s="22"/>
      <c r="G42" s="22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10">
        <v>43555.0</v>
      </c>
      <c r="B43" s="11">
        <v>41.0</v>
      </c>
      <c r="C43" s="12">
        <v>20327.0</v>
      </c>
      <c r="D43" s="13">
        <f t="shared" si="1"/>
        <v>25929</v>
      </c>
      <c r="E43" s="13">
        <f t="shared" si="2"/>
        <v>5602</v>
      </c>
      <c r="F43" s="22"/>
      <c r="G43" s="22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10">
        <v>43646.0</v>
      </c>
      <c r="B44" s="11">
        <v>42.0</v>
      </c>
      <c r="C44" s="12">
        <v>21648.0</v>
      </c>
      <c r="D44" s="13">
        <f t="shared" si="1"/>
        <v>26662</v>
      </c>
      <c r="E44" s="13">
        <f t="shared" si="2"/>
        <v>5014</v>
      </c>
      <c r="F44" s="22"/>
      <c r="G44" s="22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10">
        <v>43738.0</v>
      </c>
      <c r="B45" s="11">
        <v>43.0</v>
      </c>
      <c r="C45" s="12">
        <v>22931.0</v>
      </c>
      <c r="D45" s="13">
        <f t="shared" si="1"/>
        <v>27395</v>
      </c>
      <c r="E45" s="13">
        <f t="shared" si="2"/>
        <v>4464</v>
      </c>
      <c r="F45" s="22"/>
      <c r="G45" s="22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10">
        <v>43830.0</v>
      </c>
      <c r="B46" s="11">
        <v>44.0</v>
      </c>
      <c r="C46" s="12">
        <v>25055.0</v>
      </c>
      <c r="D46" s="13">
        <f t="shared" si="1"/>
        <v>28128</v>
      </c>
      <c r="E46" s="13">
        <f t="shared" si="2"/>
        <v>3073</v>
      </c>
      <c r="F46" s="22"/>
      <c r="G46" s="22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10">
        <v>43921.0</v>
      </c>
      <c r="B47" s="11">
        <v>45.0</v>
      </c>
      <c r="C47" s="12">
        <v>22177.0</v>
      </c>
      <c r="D47" s="13">
        <f t="shared" si="1"/>
        <v>28861</v>
      </c>
      <c r="E47" s="13">
        <f t="shared" si="2"/>
        <v>6684</v>
      </c>
      <c r="F47" s="22"/>
      <c r="G47" s="22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10">
        <v>44012.0</v>
      </c>
      <c r="B48" s="11">
        <v>46.0</v>
      </c>
      <c r="C48" s="12">
        <v>19744.0</v>
      </c>
      <c r="D48" s="13">
        <f t="shared" si="1"/>
        <v>29594</v>
      </c>
      <c r="E48" s="13">
        <f t="shared" si="2"/>
        <v>9850</v>
      </c>
      <c r="F48" s="22"/>
      <c r="G48" s="22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10">
        <v>44104.0</v>
      </c>
      <c r="B49" s="11">
        <v>47.0</v>
      </c>
      <c r="C49" s="12">
        <v>25056.0</v>
      </c>
      <c r="D49" s="13">
        <f t="shared" si="1"/>
        <v>30327</v>
      </c>
      <c r="E49" s="13">
        <f t="shared" si="2"/>
        <v>5271</v>
      </c>
      <c r="F49" s="22"/>
      <c r="G49" s="22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10">
        <v>44196.0</v>
      </c>
      <c r="B50" s="11">
        <v>48.0</v>
      </c>
      <c r="C50" s="12">
        <v>30818.0</v>
      </c>
      <c r="D50" s="13">
        <f t="shared" si="1"/>
        <v>31060</v>
      </c>
      <c r="E50" s="13">
        <f t="shared" si="2"/>
        <v>242</v>
      </c>
      <c r="F50" s="22"/>
      <c r="G50" s="22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10">
        <v>44286.0</v>
      </c>
      <c r="B51" s="11">
        <v>49.0</v>
      </c>
      <c r="C51" s="12">
        <v>31211.0</v>
      </c>
      <c r="D51" s="13">
        <f t="shared" si="1"/>
        <v>31793</v>
      </c>
      <c r="E51" s="13">
        <f t="shared" si="2"/>
        <v>582</v>
      </c>
      <c r="F51" s="22"/>
      <c r="G51" s="22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10">
        <v>44377.0</v>
      </c>
      <c r="B52" s="11">
        <v>50.0</v>
      </c>
      <c r="C52" s="12">
        <v>35653.0</v>
      </c>
      <c r="D52" s="13">
        <f t="shared" si="1"/>
        <v>32526</v>
      </c>
      <c r="E52" s="13">
        <f t="shared" si="2"/>
        <v>3127</v>
      </c>
      <c r="F52" s="22"/>
      <c r="G52" s="22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10">
        <v>44469.0</v>
      </c>
      <c r="B53" s="11">
        <v>51.0</v>
      </c>
      <c r="C53" s="12">
        <v>37497.0</v>
      </c>
      <c r="D53" s="13">
        <f t="shared" si="1"/>
        <v>33259</v>
      </c>
      <c r="E53" s="13">
        <f t="shared" si="2"/>
        <v>4238</v>
      </c>
      <c r="F53" s="22"/>
      <c r="G53" s="22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10">
        <v>44561.0</v>
      </c>
      <c r="B54" s="11">
        <v>52.0</v>
      </c>
      <c r="C54" s="12">
        <v>42337.0</v>
      </c>
      <c r="D54" s="13">
        <f t="shared" si="1"/>
        <v>33992</v>
      </c>
      <c r="E54" s="13">
        <f t="shared" si="2"/>
        <v>8345</v>
      </c>
      <c r="F54" s="22"/>
      <c r="G54" s="22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10">
        <v>44651.0</v>
      </c>
      <c r="B55" s="11">
        <v>53.0</v>
      </c>
      <c r="C55" s="12">
        <v>38412.0</v>
      </c>
      <c r="D55" s="13">
        <f t="shared" si="1"/>
        <v>34725</v>
      </c>
      <c r="E55" s="13">
        <f t="shared" si="2"/>
        <v>3687</v>
      </c>
      <c r="F55" s="22"/>
      <c r="G55" s="22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10">
        <v>44742.0</v>
      </c>
      <c r="B56" s="11">
        <v>54.0</v>
      </c>
      <c r="C56" s="12">
        <v>39581.0</v>
      </c>
      <c r="D56" s="13">
        <f t="shared" si="1"/>
        <v>35458</v>
      </c>
      <c r="E56" s="13">
        <f t="shared" si="2"/>
        <v>4123</v>
      </c>
      <c r="F56" s="22"/>
      <c r="G56" s="22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10">
        <v>44834.0</v>
      </c>
      <c r="B57" s="11">
        <v>55.0</v>
      </c>
      <c r="C57" s="12">
        <v>37934.0</v>
      </c>
      <c r="D57" s="13">
        <f t="shared" si="1"/>
        <v>36191</v>
      </c>
      <c r="E57" s="13">
        <f t="shared" si="2"/>
        <v>1743</v>
      </c>
      <c r="F57" s="22"/>
      <c r="G57" s="22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10">
        <v>44926.0</v>
      </c>
      <c r="B58" s="11">
        <v>56.0</v>
      </c>
      <c r="C58" s="12">
        <v>40706.0</v>
      </c>
      <c r="D58" s="13">
        <f t="shared" si="1"/>
        <v>36924</v>
      </c>
      <c r="E58" s="13">
        <f t="shared" si="2"/>
        <v>3782</v>
      </c>
      <c r="F58" s="22"/>
      <c r="G58" s="22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10">
        <v>45016.0</v>
      </c>
      <c r="B59" s="11">
        <v>57.0</v>
      </c>
      <c r="C59" s="12">
        <v>39175.0</v>
      </c>
      <c r="D59" s="13">
        <f t="shared" si="1"/>
        <v>37657</v>
      </c>
      <c r="E59" s="13">
        <f t="shared" si="2"/>
        <v>1518</v>
      </c>
      <c r="F59" s="22"/>
      <c r="G59" s="22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10">
        <v>45107.0</v>
      </c>
      <c r="B60" s="11">
        <v>58.0</v>
      </c>
      <c r="C60" s="12">
        <v>42688.0</v>
      </c>
      <c r="D60" s="13">
        <f t="shared" si="1"/>
        <v>38390</v>
      </c>
      <c r="E60" s="13">
        <f t="shared" si="2"/>
        <v>4298</v>
      </c>
      <c r="F60" s="22"/>
      <c r="G60" s="22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10">
        <v>45199.0</v>
      </c>
      <c r="B61" s="11">
        <v>59.0</v>
      </c>
      <c r="C61" s="12">
        <v>43464.0</v>
      </c>
      <c r="D61" s="13">
        <f t="shared" si="1"/>
        <v>39123</v>
      </c>
      <c r="E61" s="13">
        <f t="shared" si="2"/>
        <v>4341</v>
      </c>
      <c r="F61" s="22"/>
      <c r="G61" s="22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10">
        <v>45291.0</v>
      </c>
      <c r="B62" s="11">
        <v>60.0</v>
      </c>
      <c r="C62" s="12">
        <v>48735.0</v>
      </c>
      <c r="D62" s="13">
        <f t="shared" si="1"/>
        <v>39856</v>
      </c>
      <c r="E62" s="13">
        <f t="shared" si="2"/>
        <v>8879</v>
      </c>
      <c r="F62" s="22"/>
      <c r="G62" s="22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10">
        <v>45382.0</v>
      </c>
      <c r="B63" s="11">
        <v>61.0</v>
      </c>
      <c r="C63" s="12">
        <v>46827.0</v>
      </c>
      <c r="D63" s="13">
        <f t="shared" si="1"/>
        <v>40589</v>
      </c>
      <c r="E63" s="13">
        <f t="shared" si="2"/>
        <v>6238</v>
      </c>
      <c r="F63" s="22"/>
      <c r="G63" s="22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10">
        <v>45473.0</v>
      </c>
      <c r="B64" s="11">
        <v>62.0</v>
      </c>
      <c r="C64" s="12">
        <v>49235.0</v>
      </c>
      <c r="D64" s="13">
        <f t="shared" si="1"/>
        <v>41322</v>
      </c>
      <c r="E64" s="13">
        <f t="shared" si="2"/>
        <v>7913</v>
      </c>
      <c r="F64" s="22"/>
      <c r="G64" s="22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27" t="s">
        <v>13</v>
      </c>
      <c r="B65" s="11">
        <v>63.0</v>
      </c>
      <c r="C65" s="12">
        <v>51794.0</v>
      </c>
      <c r="D65" s="13">
        <f t="shared" si="1"/>
        <v>42055</v>
      </c>
      <c r="E65" s="13">
        <f t="shared" si="2"/>
        <v>9739</v>
      </c>
      <c r="F65" s="22"/>
      <c r="G65" s="22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28"/>
      <c r="B66" s="28"/>
      <c r="C66" s="28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29"/>
      <c r="B67" s="30" t="s">
        <v>11</v>
      </c>
      <c r="C67" s="31">
        <f>AVERAGE(C3:C65)</f>
        <v>19343.38095</v>
      </c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29"/>
      <c r="B68" s="30" t="s">
        <v>14</v>
      </c>
      <c r="C68" s="31">
        <f>VARP(C3:C65)</f>
        <v>198548668.9</v>
      </c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29"/>
      <c r="B69" s="30" t="s">
        <v>15</v>
      </c>
      <c r="C69" s="31">
        <f>SQRT(C68)</f>
        <v>14090.72989</v>
      </c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16"/>
      <c r="B70" s="16"/>
      <c r="C70" s="16"/>
      <c r="D70" s="16"/>
      <c r="E70" s="16"/>
      <c r="F70" s="17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1">
    <mergeCell ref="A1:I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2.63"/>
    <col customWidth="1" min="4" max="4" width="18.38"/>
    <col customWidth="1" min="5" max="5" width="23.75"/>
    <col customWidth="1" min="6" max="6" width="21.0"/>
    <col customWidth="1" min="7" max="7" width="29.25"/>
    <col customWidth="1" min="8" max="8" width="19.5"/>
  </cols>
  <sheetData>
    <row r="1">
      <c r="A1" s="32" t="s">
        <v>6</v>
      </c>
      <c r="B1" s="32" t="s">
        <v>7</v>
      </c>
      <c r="C1" s="32" t="s">
        <v>16</v>
      </c>
      <c r="D1" s="33" t="s">
        <v>17</v>
      </c>
      <c r="E1" s="32" t="s">
        <v>18</v>
      </c>
      <c r="F1" s="34" t="s">
        <v>19</v>
      </c>
      <c r="G1" s="34" t="s">
        <v>20</v>
      </c>
      <c r="H1" s="32"/>
    </row>
    <row r="2">
      <c r="A2" s="35">
        <v>0.0</v>
      </c>
      <c r="B2" s="35">
        <v>0.0</v>
      </c>
      <c r="C2" s="36"/>
      <c r="D2" s="36"/>
      <c r="E2" s="36"/>
      <c r="F2" s="36"/>
      <c r="G2" s="36"/>
      <c r="H2" s="36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>
      <c r="A3" s="38">
        <v>1000.0</v>
      </c>
      <c r="B3" s="38">
        <v>6.0</v>
      </c>
      <c r="C3" s="13">
        <f t="shared" ref="C3:C12" si="1">(A2+A3)/2</f>
        <v>500</v>
      </c>
      <c r="D3" s="13">
        <f t="shared" ref="D3:D12" si="2">C3*B3</f>
        <v>3000</v>
      </c>
      <c r="E3" s="13">
        <f t="shared" ref="E3:E12" si="3">$D$14/$B$14</f>
        <v>4007.936508</v>
      </c>
      <c r="F3" s="39">
        <v>-3507.936</v>
      </c>
      <c r="G3" s="13">
        <f t="shared" ref="G3:G12" si="4">F3*F3</f>
        <v>12305614.98</v>
      </c>
      <c r="H3" s="13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35">
        <v>2000.0</v>
      </c>
      <c r="B4" s="35">
        <v>7.0</v>
      </c>
      <c r="C4" s="36">
        <f t="shared" si="1"/>
        <v>1500</v>
      </c>
      <c r="D4" s="36">
        <f t="shared" si="2"/>
        <v>10500</v>
      </c>
      <c r="E4" s="36">
        <f t="shared" si="3"/>
        <v>4007.936508</v>
      </c>
      <c r="F4" s="40">
        <v>-2507.936</v>
      </c>
      <c r="G4" s="36">
        <f t="shared" si="4"/>
        <v>6289742.98</v>
      </c>
      <c r="H4" s="36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>
      <c r="A5" s="38">
        <v>3000.0</v>
      </c>
      <c r="B5" s="38">
        <v>6.0</v>
      </c>
      <c r="C5" s="13">
        <f t="shared" si="1"/>
        <v>2500</v>
      </c>
      <c r="D5" s="13">
        <f t="shared" si="2"/>
        <v>15000</v>
      </c>
      <c r="E5" s="13">
        <f t="shared" si="3"/>
        <v>4007.936508</v>
      </c>
      <c r="F5" s="39">
        <v>-1507.936</v>
      </c>
      <c r="G5" s="13">
        <f t="shared" si="4"/>
        <v>2273870.98</v>
      </c>
      <c r="H5" s="13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35">
        <v>4000.0</v>
      </c>
      <c r="B6" s="35">
        <v>12.0</v>
      </c>
      <c r="C6" s="36">
        <f t="shared" si="1"/>
        <v>3500</v>
      </c>
      <c r="D6" s="36">
        <f t="shared" si="2"/>
        <v>42000</v>
      </c>
      <c r="E6" s="36">
        <f t="shared" si="3"/>
        <v>4007.936508</v>
      </c>
      <c r="F6" s="40">
        <v>-507.936</v>
      </c>
      <c r="G6" s="36">
        <f t="shared" si="4"/>
        <v>257998.9801</v>
      </c>
      <c r="H6" s="36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>
      <c r="A7" s="38">
        <v>5000.0</v>
      </c>
      <c r="B7" s="38">
        <v>14.0</v>
      </c>
      <c r="C7" s="13">
        <f t="shared" si="1"/>
        <v>4500</v>
      </c>
      <c r="D7" s="13">
        <f t="shared" si="2"/>
        <v>63000</v>
      </c>
      <c r="E7" s="13">
        <f t="shared" si="3"/>
        <v>4007.936508</v>
      </c>
      <c r="F7" s="39">
        <v>492.064</v>
      </c>
      <c r="G7" s="13">
        <f t="shared" si="4"/>
        <v>242126.9801</v>
      </c>
      <c r="H7" s="13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35">
        <v>6000.0</v>
      </c>
      <c r="B8" s="35">
        <v>9.0</v>
      </c>
      <c r="C8" s="36">
        <f t="shared" si="1"/>
        <v>5500</v>
      </c>
      <c r="D8" s="36">
        <f t="shared" si="2"/>
        <v>49500</v>
      </c>
      <c r="E8" s="36">
        <f t="shared" si="3"/>
        <v>4007.936508</v>
      </c>
      <c r="F8" s="40">
        <v>1492.064</v>
      </c>
      <c r="G8" s="36">
        <f t="shared" si="4"/>
        <v>2226254.98</v>
      </c>
      <c r="H8" s="36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>
      <c r="A9" s="38">
        <v>7000.0</v>
      </c>
      <c r="B9" s="38">
        <v>4.0</v>
      </c>
      <c r="C9" s="13">
        <f t="shared" si="1"/>
        <v>6500</v>
      </c>
      <c r="D9" s="13">
        <f t="shared" si="2"/>
        <v>26000</v>
      </c>
      <c r="E9" s="13">
        <f t="shared" si="3"/>
        <v>4007.936508</v>
      </c>
      <c r="F9" s="39">
        <v>2492.064</v>
      </c>
      <c r="G9" s="13">
        <f t="shared" si="4"/>
        <v>6210382.98</v>
      </c>
      <c r="H9" s="13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41">
        <v>8000.0</v>
      </c>
      <c r="B10" s="41">
        <v>1.0</v>
      </c>
      <c r="C10" s="42">
        <f t="shared" si="1"/>
        <v>7500</v>
      </c>
      <c r="D10" s="42">
        <f t="shared" si="2"/>
        <v>7500</v>
      </c>
      <c r="E10" s="42">
        <f t="shared" si="3"/>
        <v>4007.936508</v>
      </c>
      <c r="F10" s="43">
        <v>3492.064</v>
      </c>
      <c r="G10" s="42">
        <f t="shared" si="4"/>
        <v>12194510.98</v>
      </c>
      <c r="H10" s="42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</row>
    <row r="11">
      <c r="A11" s="38">
        <v>9000.0</v>
      </c>
      <c r="B11" s="38">
        <v>2.0</v>
      </c>
      <c r="C11" s="13">
        <f t="shared" si="1"/>
        <v>8500</v>
      </c>
      <c r="D11" s="13">
        <f t="shared" si="2"/>
        <v>17000</v>
      </c>
      <c r="E11" s="13">
        <f t="shared" si="3"/>
        <v>4007.936508</v>
      </c>
      <c r="F11" s="39">
        <v>4492.064</v>
      </c>
      <c r="G11" s="13">
        <f t="shared" si="4"/>
        <v>20178638.98</v>
      </c>
      <c r="H11" s="13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35">
        <v>10000.0</v>
      </c>
      <c r="B12" s="35">
        <v>2.0</v>
      </c>
      <c r="C12" s="36">
        <f t="shared" si="1"/>
        <v>9500</v>
      </c>
      <c r="D12" s="36">
        <f t="shared" si="2"/>
        <v>19000</v>
      </c>
      <c r="E12" s="36">
        <f t="shared" si="3"/>
        <v>4007.936508</v>
      </c>
      <c r="F12" s="40">
        <v>5492.064</v>
      </c>
      <c r="G12" s="36">
        <f t="shared" si="4"/>
        <v>30162766.98</v>
      </c>
      <c r="H12" s="36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>
      <c r="A13" s="13"/>
      <c r="B13" s="13"/>
      <c r="C13" s="13"/>
      <c r="D13" s="13"/>
      <c r="E13" s="13"/>
      <c r="F13" s="13"/>
      <c r="G13" s="13"/>
      <c r="H13" s="13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36"/>
      <c r="B14" s="35">
        <f>SUM(B2:B12)</f>
        <v>63</v>
      </c>
      <c r="C14" s="36"/>
      <c r="D14" s="36">
        <f>SUM(D2:D13)</f>
        <v>252500</v>
      </c>
      <c r="E14" s="36"/>
      <c r="F14" s="36"/>
      <c r="G14" s="36">
        <f>SUM(G2:G13)</f>
        <v>92341909.8</v>
      </c>
      <c r="H14" s="36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>
      <c r="A15" s="13"/>
      <c r="B15" s="13"/>
      <c r="C15" s="13"/>
      <c r="D15" s="13"/>
      <c r="E15" s="13"/>
      <c r="F15" s="13"/>
      <c r="G15" s="13"/>
      <c r="H15" s="13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36"/>
      <c r="B16" s="36"/>
      <c r="C16" s="36"/>
      <c r="D16" s="36"/>
      <c r="E16" s="36"/>
      <c r="F16" s="36"/>
      <c r="G16" s="45" t="s">
        <v>21</v>
      </c>
      <c r="H16" s="46">
        <f>G14/B14</f>
        <v>1465744.6</v>
      </c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ht="108.0" customHeight="1">
      <c r="A17" s="13"/>
      <c r="B17" s="13"/>
      <c r="C17" s="13"/>
      <c r="D17" s="13"/>
      <c r="E17" s="13"/>
      <c r="F17" s="13"/>
      <c r="G17" s="47" t="s">
        <v>22</v>
      </c>
      <c r="H17" s="48">
        <f>SQRT(H16)</f>
        <v>1210.679396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rawing r:id="rId1"/>
</worksheet>
</file>